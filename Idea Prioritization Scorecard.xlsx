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hmedkaddour/Documents/AhmedDev/G42Triage/"/>
    </mc:Choice>
  </mc:AlternateContent>
  <xr:revisionPtr revIDLastSave="0" documentId="13_ncr:101_{C014FB8F-DFE6-034B-88CF-7655AC795F47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Scorecard" sheetId="1" r:id="rId1"/>
    <sheet name="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4" i="1"/>
  <c r="F23" i="1"/>
  <c r="F22" i="1"/>
  <c r="F21" i="1"/>
  <c r="F19" i="1"/>
  <c r="F18" i="1"/>
  <c r="F17" i="1"/>
  <c r="F15" i="1"/>
  <c r="F14" i="1"/>
  <c r="F13" i="1"/>
  <c r="F12" i="1"/>
  <c r="F30" i="1" l="1"/>
  <c r="F32" i="1" s="1"/>
</calcChain>
</file>

<file path=xl/sharedStrings.xml><?xml version="1.0" encoding="utf-8"?>
<sst xmlns="http://schemas.openxmlformats.org/spreadsheetml/2006/main" count="83" uniqueCount="69">
  <si>
    <t>Validation Engine – Idea Prioritization Scorecard (100 points)</t>
  </si>
  <si>
    <t>Inputs</t>
  </si>
  <si>
    <t>Idea name</t>
  </si>
  <si>
    <t>Affiliate / BU</t>
  </si>
  <si>
    <t>Vertical</t>
  </si>
  <si>
    <t>SaaS readiness (initial)</t>
  </si>
  <si>
    <t>Date</t>
  </si>
  <si>
    <t>Named owners</t>
  </si>
  <si>
    <t>Scoring (0–5) – Weighted to 100 points (enter scores in column D)</t>
  </si>
  <si>
    <t>#</t>
  </si>
  <si>
    <t>Category / Criterion</t>
  </si>
  <si>
    <t>Evidence required (minimum)</t>
  </si>
  <si>
    <t>Score (0–5)</t>
  </si>
  <si>
    <t>Weight (pts)</t>
  </si>
  <si>
    <t>Weighted pts</t>
  </si>
  <si>
    <t>Notes</t>
  </si>
  <si>
    <t>Market &amp; Strategic Fit</t>
  </si>
  <si>
    <t>Problem severity &amp; urgency</t>
  </si>
  <si>
    <t>Validated pain; urgency drivers; clear buyer</t>
  </si>
  <si>
    <t/>
  </si>
  <si>
    <t>Repeatability across customers</t>
  </si>
  <si>
    <t>Clear repeatable use case; not bespoke</t>
  </si>
  <si>
    <t>Design partners / pipeline evidence</t>
  </si>
  <si>
    <t>2–3 design partners or credible pipeline</t>
  </si>
  <si>
    <t>Strategic alignment</t>
  </si>
  <si>
    <t>Aligned to priority verticals / strategic mandates</t>
  </si>
  <si>
    <t>Commercial &amp; Economics</t>
  </si>
  <si>
    <t>Pricing power / willingness to pay</t>
  </si>
  <si>
    <t>WTP signal; pricing band tested</t>
  </si>
  <si>
    <t>Margin potential (COGS + cost-to-serve)</t>
  </si>
  <si>
    <t>COGS drivers understood; GM path</t>
  </si>
  <si>
    <t>Sales motion feasibility</t>
  </si>
  <si>
    <t>Direct/partner/co-sell path defined</t>
  </si>
  <si>
    <t>Technical &amp; Delivery Feasibility</t>
  </si>
  <si>
    <t>SaaS readiness / complexity</t>
  </si>
  <si>
    <t>Track A/B decided; key epics identified</t>
  </si>
  <si>
    <t>Security &amp; compliance feasibility</t>
  </si>
  <si>
    <t>Threat model v1; control mapping; evidence plan</t>
  </si>
  <si>
    <t>Operability (SRE readiness)</t>
  </si>
  <si>
    <t>SLOs, DR approach, run ownership feasible</t>
  </si>
  <si>
    <t>Integration complexity</t>
  </si>
  <si>
    <t>Integration map; known dependencies</t>
  </si>
  <si>
    <t>Partnership leverage (Microsoft/ISE)</t>
  </si>
  <si>
    <t>Microsoft field verification strength</t>
  </si>
  <si>
    <t>Field input; account relevance; objections</t>
  </si>
  <si>
    <t>Marketplace readiness path clarity</t>
  </si>
  <si>
    <t>Listing requirements and path understood</t>
  </si>
  <si>
    <t>ISE accelerator fit / engineering leverage</t>
  </si>
  <si>
    <t>ISE scope/accelerators identified</t>
  </si>
  <si>
    <t>Total weighted score (0–100)</t>
  </si>
  <si>
    <t>Any red-flag override? (If Yes, recommendation is HOLD until resolved)</t>
  </si>
  <si>
    <t>No</t>
  </si>
  <si>
    <t>Recommendation</t>
  </si>
  <si>
    <t>Score_0_5</t>
  </si>
  <si>
    <t>Yes_No</t>
  </si>
  <si>
    <t>Verticals</t>
  </si>
  <si>
    <t>Track</t>
  </si>
  <si>
    <t>Yes</t>
  </si>
  <si>
    <t>Healthcare</t>
  </si>
  <si>
    <t>Track A: SaaS-ready</t>
  </si>
  <si>
    <t>Government</t>
  </si>
  <si>
    <t>Track B: Modernize-first</t>
  </si>
  <si>
    <t>Financial Services</t>
  </si>
  <si>
    <t>Unknown</t>
  </si>
  <si>
    <t>Cybersecurity</t>
  </si>
  <si>
    <t>Education</t>
  </si>
  <si>
    <t>Other</t>
  </si>
  <si>
    <t>[G42 PO| Affiliate PO | Eng Lead]</t>
  </si>
  <si>
    <t>Decision notes / conditions / dependencies (Microsoft, ISE, Affiliates):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</si>
</sst>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ptos"/>
    </font>
    <font>
      <sz val="11"/>
      <color theme="1"/>
      <name val="Aptos"/>
    </font>
    <font>
      <b/>
      <sz val="12"/>
      <color rgb="FF0B1F3A"/>
      <name val="Aptos"/>
    </font>
    <font>
      <b/>
      <sz val="11"/>
      <name val="Aptos"/>
    </font>
    <font>
      <sz val="11"/>
      <color rgb="FF1D4ED8"/>
      <name val="Aptos"/>
    </font>
    <font>
      <b/>
      <sz val="11"/>
      <color rgb="FF0B1F3A"/>
      <name val="Aptos"/>
    </font>
    <font>
      <b/>
      <sz val="11"/>
      <color rgb="FFFFFFFF"/>
      <name val="Aptos"/>
    </font>
    <font>
      <sz val="11"/>
      <name val="Aptos"/>
    </font>
    <font>
      <b/>
      <sz val="12"/>
      <name val="Aptos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FF7ED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164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/>
    <xf numFmtId="0" fontId="4" fillId="2" borderId="1" xfId="0" applyFont="1" applyFill="1" applyBorder="1" applyAlignment="1">
      <alignment vertical="top" wrapText="1"/>
    </xf>
    <xf numFmtId="0" fontId="2" fillId="0" borderId="5" xfId="0" applyFont="1" applyBorder="1"/>
    <xf numFmtId="0" fontId="4" fillId="2" borderId="1" xfId="0" applyFont="1" applyFill="1" applyBorder="1"/>
    <xf numFmtId="0" fontId="2" fillId="0" borderId="4" xfId="0" applyFont="1" applyBorder="1"/>
    <xf numFmtId="0" fontId="7" fillId="4" borderId="1" xfId="0" applyFont="1" applyFill="1" applyBorder="1" applyAlignment="1">
      <alignment vertical="center"/>
    </xf>
    <xf numFmtId="0" fontId="2" fillId="4" borderId="4" xfId="0" applyFont="1" applyFill="1" applyBorder="1"/>
    <xf numFmtId="0" fontId="2" fillId="4" borderId="5" xfId="0" applyFont="1" applyFill="1" applyBorder="1"/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/>
    <xf numFmtId="0" fontId="6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tabSelected="1" zoomScale="130" zoomScaleNormal="130" workbookViewId="0">
      <selection activeCell="E13" sqref="E13"/>
    </sheetView>
  </sheetViews>
  <sheetFormatPr baseColWidth="10" defaultColWidth="8.83203125" defaultRowHeight="15" x14ac:dyDescent="0.2"/>
  <cols>
    <col min="1" max="1" width="5.5" style="1" customWidth="1"/>
    <col min="2" max="2" width="42" style="1" customWidth="1"/>
    <col min="3" max="3" width="15.83203125" style="1" customWidth="1"/>
    <col min="4" max="4" width="12" style="1" customWidth="1"/>
    <col min="5" max="6" width="14" style="1" customWidth="1"/>
    <col min="7" max="7" width="18" style="1" customWidth="1"/>
    <col min="8" max="16384" width="8.83203125" style="1"/>
  </cols>
  <sheetData>
    <row r="1" spans="1:7" ht="19" x14ac:dyDescent="0.2">
      <c r="A1" s="14" t="s">
        <v>0</v>
      </c>
      <c r="B1" s="15"/>
      <c r="C1" s="15"/>
      <c r="D1" s="15"/>
      <c r="E1" s="15"/>
      <c r="F1" s="15"/>
      <c r="G1" s="15"/>
    </row>
    <row r="3" spans="1:7" ht="16" x14ac:dyDescent="0.2">
      <c r="A3" s="2" t="s">
        <v>1</v>
      </c>
    </row>
    <row r="4" spans="1:7" x14ac:dyDescent="0.2">
      <c r="A4" s="16" t="s">
        <v>2</v>
      </c>
      <c r="B4" s="17"/>
      <c r="C4" s="23"/>
      <c r="D4" s="19"/>
      <c r="E4" s="19"/>
      <c r="F4" s="19"/>
      <c r="G4" s="17"/>
    </row>
    <row r="5" spans="1:7" x14ac:dyDescent="0.2">
      <c r="A5" s="16" t="s">
        <v>3</v>
      </c>
      <c r="B5" s="17"/>
      <c r="C5" s="23"/>
      <c r="D5" s="17"/>
      <c r="E5" s="16" t="s">
        <v>4</v>
      </c>
      <c r="F5" s="17"/>
      <c r="G5" s="3"/>
    </row>
    <row r="6" spans="1:7" x14ac:dyDescent="0.2">
      <c r="A6" s="16" t="s">
        <v>5</v>
      </c>
      <c r="B6" s="17"/>
      <c r="C6" s="23"/>
      <c r="D6" s="17"/>
      <c r="E6" s="16" t="s">
        <v>6</v>
      </c>
      <c r="F6" s="17"/>
      <c r="G6" s="3"/>
    </row>
    <row r="7" spans="1:7" x14ac:dyDescent="0.2">
      <c r="A7" s="16" t="s">
        <v>7</v>
      </c>
      <c r="B7" s="17"/>
      <c r="C7" s="23" t="s">
        <v>67</v>
      </c>
      <c r="D7" s="19"/>
      <c r="E7" s="19"/>
      <c r="F7" s="19"/>
      <c r="G7" s="17"/>
    </row>
    <row r="9" spans="1:7" x14ac:dyDescent="0.2">
      <c r="A9" s="25" t="s">
        <v>8</v>
      </c>
      <c r="B9" s="15"/>
      <c r="C9" s="15"/>
      <c r="D9" s="15"/>
      <c r="E9" s="15"/>
      <c r="F9" s="15"/>
      <c r="G9" s="15"/>
    </row>
    <row r="10" spans="1:7" ht="32" x14ac:dyDescent="0.2">
      <c r="A10" s="4" t="s">
        <v>9</v>
      </c>
      <c r="B10" s="5" t="s">
        <v>10</v>
      </c>
      <c r="C10" s="5" t="s">
        <v>11</v>
      </c>
      <c r="D10" s="4" t="s">
        <v>12</v>
      </c>
      <c r="E10" s="4" t="s">
        <v>13</v>
      </c>
      <c r="F10" s="4" t="s">
        <v>14</v>
      </c>
      <c r="G10" s="5" t="s">
        <v>15</v>
      </c>
    </row>
    <row r="11" spans="1:7" x14ac:dyDescent="0.2">
      <c r="A11" s="6"/>
      <c r="B11" s="20" t="s">
        <v>16</v>
      </c>
      <c r="C11" s="21"/>
      <c r="D11" s="21"/>
      <c r="E11" s="21"/>
      <c r="F11" s="21"/>
      <c r="G11" s="22"/>
    </row>
    <row r="12" spans="1:7" ht="48" x14ac:dyDescent="0.2">
      <c r="A12" s="7">
        <v>1</v>
      </c>
      <c r="B12" s="8" t="s">
        <v>17</v>
      </c>
      <c r="C12" s="8" t="s">
        <v>18</v>
      </c>
      <c r="D12" s="7"/>
      <c r="E12" s="9"/>
      <c r="F12" s="10" t="str">
        <f>IF(D12="","",D12/5*E12)</f>
        <v/>
      </c>
      <c r="G12" s="8" t="s">
        <v>19</v>
      </c>
    </row>
    <row r="13" spans="1:7" ht="48" x14ac:dyDescent="0.2">
      <c r="A13" s="7">
        <v>2</v>
      </c>
      <c r="B13" s="8" t="s">
        <v>20</v>
      </c>
      <c r="C13" s="8" t="s">
        <v>21</v>
      </c>
      <c r="D13" s="7"/>
      <c r="E13" s="9"/>
      <c r="F13" s="10" t="str">
        <f>IF(D13="","",D13/5*E13)</f>
        <v/>
      </c>
      <c r="G13" s="8" t="s">
        <v>19</v>
      </c>
    </row>
    <row r="14" spans="1:7" ht="48" x14ac:dyDescent="0.2">
      <c r="A14" s="7">
        <v>3</v>
      </c>
      <c r="B14" s="8" t="s">
        <v>22</v>
      </c>
      <c r="C14" s="8" t="s">
        <v>23</v>
      </c>
      <c r="D14" s="7"/>
      <c r="E14" s="9"/>
      <c r="F14" s="10" t="str">
        <f>IF(D14="","",D14/5*E14)</f>
        <v/>
      </c>
      <c r="G14" s="8" t="s">
        <v>19</v>
      </c>
    </row>
    <row r="15" spans="1:7" ht="64" x14ac:dyDescent="0.2">
      <c r="A15" s="7">
        <v>4</v>
      </c>
      <c r="B15" s="8" t="s">
        <v>24</v>
      </c>
      <c r="C15" s="8" t="s">
        <v>25</v>
      </c>
      <c r="D15" s="7"/>
      <c r="E15" s="9"/>
      <c r="F15" s="10" t="str">
        <f>IF(D15="","",D15/5*E15)</f>
        <v/>
      </c>
      <c r="G15" s="8" t="s">
        <v>19</v>
      </c>
    </row>
    <row r="16" spans="1:7" x14ac:dyDescent="0.2">
      <c r="A16" s="6"/>
      <c r="B16" s="20" t="s">
        <v>26</v>
      </c>
      <c r="C16" s="21"/>
      <c r="D16" s="21"/>
      <c r="E16" s="21"/>
      <c r="F16" s="21"/>
      <c r="G16" s="22"/>
    </row>
    <row r="17" spans="1:7" ht="48" x14ac:dyDescent="0.2">
      <c r="A17" s="7">
        <v>5</v>
      </c>
      <c r="B17" s="8" t="s">
        <v>27</v>
      </c>
      <c r="C17" s="8" t="s">
        <v>28</v>
      </c>
      <c r="D17" s="7"/>
      <c r="E17" s="9"/>
      <c r="F17" s="10" t="str">
        <f>IF(D17="","",D17/5*E17)</f>
        <v/>
      </c>
      <c r="G17" s="8" t="s">
        <v>19</v>
      </c>
    </row>
    <row r="18" spans="1:7" ht="48" x14ac:dyDescent="0.2">
      <c r="A18" s="7">
        <v>6</v>
      </c>
      <c r="B18" s="8" t="s">
        <v>29</v>
      </c>
      <c r="C18" s="8" t="s">
        <v>30</v>
      </c>
      <c r="D18" s="7"/>
      <c r="E18" s="9"/>
      <c r="F18" s="10" t="str">
        <f>IF(D18="","",D18/5*E18)</f>
        <v/>
      </c>
      <c r="G18" s="8" t="s">
        <v>19</v>
      </c>
    </row>
    <row r="19" spans="1:7" ht="32" x14ac:dyDescent="0.2">
      <c r="A19" s="7">
        <v>7</v>
      </c>
      <c r="B19" s="8" t="s">
        <v>31</v>
      </c>
      <c r="C19" s="8" t="s">
        <v>32</v>
      </c>
      <c r="D19" s="7"/>
      <c r="E19" s="9"/>
      <c r="F19" s="10" t="str">
        <f>IF(D19="","",D19/5*E19)</f>
        <v/>
      </c>
      <c r="G19" s="8" t="s">
        <v>19</v>
      </c>
    </row>
    <row r="20" spans="1:7" x14ac:dyDescent="0.2">
      <c r="A20" s="6"/>
      <c r="B20" s="20" t="s">
        <v>33</v>
      </c>
      <c r="C20" s="21"/>
      <c r="D20" s="21"/>
      <c r="E20" s="21"/>
      <c r="F20" s="21"/>
      <c r="G20" s="22"/>
    </row>
    <row r="21" spans="1:7" ht="48" x14ac:dyDescent="0.2">
      <c r="A21" s="7">
        <v>8</v>
      </c>
      <c r="B21" s="8" t="s">
        <v>34</v>
      </c>
      <c r="C21" s="8" t="s">
        <v>35</v>
      </c>
      <c r="D21" s="7"/>
      <c r="E21" s="9"/>
      <c r="F21" s="10" t="str">
        <f>IF(D21="","",D21/5*E21)</f>
        <v/>
      </c>
      <c r="G21" s="8" t="s">
        <v>19</v>
      </c>
    </row>
    <row r="22" spans="1:7" ht="48" x14ac:dyDescent="0.2">
      <c r="A22" s="7">
        <v>9</v>
      </c>
      <c r="B22" s="8" t="s">
        <v>36</v>
      </c>
      <c r="C22" s="8" t="s">
        <v>37</v>
      </c>
      <c r="D22" s="7"/>
      <c r="E22" s="9"/>
      <c r="F22" s="10" t="str">
        <f>IF(D22="","",D22/5*E22)</f>
        <v/>
      </c>
      <c r="G22" s="8" t="s">
        <v>19</v>
      </c>
    </row>
    <row r="23" spans="1:7" ht="64" x14ac:dyDescent="0.2">
      <c r="A23" s="7">
        <v>10</v>
      </c>
      <c r="B23" s="8" t="s">
        <v>38</v>
      </c>
      <c r="C23" s="8" t="s">
        <v>39</v>
      </c>
      <c r="D23" s="7"/>
      <c r="E23" s="9"/>
      <c r="F23" s="10" t="str">
        <f>IF(D23="","",D23/5*E23)</f>
        <v/>
      </c>
      <c r="G23" s="8" t="s">
        <v>19</v>
      </c>
    </row>
    <row r="24" spans="1:7" ht="48" x14ac:dyDescent="0.2">
      <c r="A24" s="7">
        <v>11</v>
      </c>
      <c r="B24" s="8" t="s">
        <v>40</v>
      </c>
      <c r="C24" s="8" t="s">
        <v>41</v>
      </c>
      <c r="D24" s="7"/>
      <c r="E24" s="9"/>
      <c r="F24" s="10" t="str">
        <f>IF(D24="","",D24/5*E24)</f>
        <v/>
      </c>
      <c r="G24" s="8" t="s">
        <v>19</v>
      </c>
    </row>
    <row r="25" spans="1:7" x14ac:dyDescent="0.2">
      <c r="A25" s="6"/>
      <c r="B25" s="20" t="s">
        <v>42</v>
      </c>
      <c r="C25" s="21"/>
      <c r="D25" s="21"/>
      <c r="E25" s="21"/>
      <c r="F25" s="21"/>
      <c r="G25" s="22"/>
    </row>
    <row r="26" spans="1:7" ht="64" x14ac:dyDescent="0.2">
      <c r="A26" s="7">
        <v>12</v>
      </c>
      <c r="B26" s="8" t="s">
        <v>43</v>
      </c>
      <c r="C26" s="8" t="s">
        <v>44</v>
      </c>
      <c r="D26" s="7"/>
      <c r="E26" s="9"/>
      <c r="F26" s="10" t="str">
        <f>IF(D26="","",D26/5*E26)</f>
        <v/>
      </c>
      <c r="G26" s="8" t="s">
        <v>19</v>
      </c>
    </row>
    <row r="27" spans="1:7" ht="48" x14ac:dyDescent="0.2">
      <c r="A27" s="7">
        <v>13</v>
      </c>
      <c r="B27" s="8" t="s">
        <v>45</v>
      </c>
      <c r="C27" s="8" t="s">
        <v>46</v>
      </c>
      <c r="D27" s="7"/>
      <c r="E27" s="9"/>
      <c r="F27" s="10" t="str">
        <f>IF(D27="","",D27/5*E27)</f>
        <v/>
      </c>
      <c r="G27" s="8" t="s">
        <v>19</v>
      </c>
    </row>
    <row r="28" spans="1:7" ht="48" x14ac:dyDescent="0.2">
      <c r="A28" s="7">
        <v>14</v>
      </c>
      <c r="B28" s="8" t="s">
        <v>47</v>
      </c>
      <c r="C28" s="8" t="s">
        <v>48</v>
      </c>
      <c r="D28" s="7"/>
      <c r="E28" s="9"/>
      <c r="F28" s="10" t="str">
        <f>IF(D28="","",D28/5*E28)</f>
        <v/>
      </c>
      <c r="G28" s="8" t="s">
        <v>19</v>
      </c>
    </row>
    <row r="30" spans="1:7" ht="16" x14ac:dyDescent="0.2">
      <c r="A30" s="26" t="s">
        <v>49</v>
      </c>
      <c r="B30" s="19"/>
      <c r="C30" s="19"/>
      <c r="D30" s="19"/>
      <c r="E30" s="17"/>
      <c r="F30" s="11">
        <f>SUM(F12,F13,F14,F15,F17,F18,F19,F21,F22,F23,F24,F26,F27,F28)</f>
        <v>0</v>
      </c>
    </row>
    <row r="31" spans="1:7" x14ac:dyDescent="0.2">
      <c r="A31" s="24" t="s">
        <v>50</v>
      </c>
      <c r="B31" s="19"/>
      <c r="C31" s="19"/>
      <c r="D31" s="19"/>
      <c r="E31" s="17"/>
      <c r="F31" s="12" t="s">
        <v>51</v>
      </c>
    </row>
    <row r="32" spans="1:7" ht="51" x14ac:dyDescent="0.2">
      <c r="A32" s="18" t="s">
        <v>52</v>
      </c>
      <c r="B32" s="19"/>
      <c r="C32" s="19"/>
      <c r="D32" s="19"/>
      <c r="E32" s="17"/>
      <c r="F32" s="13" t="str">
        <f>IF((COUNT(D12)+COUNT(D13)+COUNT(D14)+COUNT(D15)+COUNT(D17)+COUNT(D18)+COUNT(D19)+COUNT(D21)+COUNT(D22)+COUNT(D23)+COUNT(D24)+COUNT(D26)+COUNT(D27)+COUNT(D28))&lt;14,"INCOMPLETE - score all criteria",IF(F31="Yes","HOLD (red-flag override)",IF(F30&gt;=80,"GO (Fast-track)",IF(F30&gt;=65,"GO (Modernize-first / conditional)",IF(F30&gt;=50,"HOLD (evidence gaps)","KILL")))))</f>
        <v>INCOMPLETE - score all criteria</v>
      </c>
    </row>
    <row r="33" spans="1:7" x14ac:dyDescent="0.2">
      <c r="A33" s="23" t="s">
        <v>68</v>
      </c>
      <c r="B33" s="27"/>
      <c r="C33" s="27"/>
      <c r="D33" s="27"/>
      <c r="E33" s="27"/>
      <c r="F33" s="27"/>
      <c r="G33" s="28"/>
    </row>
    <row r="34" spans="1:7" x14ac:dyDescent="0.2">
      <c r="A34" s="29"/>
      <c r="B34" s="30"/>
      <c r="C34" s="30"/>
      <c r="D34" s="30"/>
      <c r="E34" s="30"/>
      <c r="F34" s="30"/>
      <c r="G34" s="31"/>
    </row>
    <row r="35" spans="1:7" x14ac:dyDescent="0.2">
      <c r="A35" s="32"/>
      <c r="B35" s="33"/>
      <c r="C35" s="33"/>
      <c r="D35" s="33"/>
      <c r="E35" s="33"/>
      <c r="F35" s="33"/>
      <c r="G35" s="34"/>
    </row>
  </sheetData>
  <mergeCells count="20">
    <mergeCell ref="C5:D5"/>
    <mergeCell ref="E5:F5"/>
    <mergeCell ref="A33:G35"/>
    <mergeCell ref="A6:B6"/>
    <mergeCell ref="A1:G1"/>
    <mergeCell ref="A5:B5"/>
    <mergeCell ref="A32:E32"/>
    <mergeCell ref="B25:G25"/>
    <mergeCell ref="A4:B4"/>
    <mergeCell ref="B16:G16"/>
    <mergeCell ref="C7:G7"/>
    <mergeCell ref="A31:E31"/>
    <mergeCell ref="B11:G11"/>
    <mergeCell ref="C4:G4"/>
    <mergeCell ref="A7:B7"/>
    <mergeCell ref="A9:G9"/>
    <mergeCell ref="B20:G20"/>
    <mergeCell ref="E6:F6"/>
    <mergeCell ref="A30:E30"/>
    <mergeCell ref="C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53</v>
      </c>
      <c r="B1" t="s">
        <v>54</v>
      </c>
      <c r="C1" t="s">
        <v>55</v>
      </c>
      <c r="D1" t="s">
        <v>56</v>
      </c>
    </row>
    <row r="2" spans="1:4" x14ac:dyDescent="0.2">
      <c r="A2">
        <v>0</v>
      </c>
      <c r="B2" t="s">
        <v>57</v>
      </c>
      <c r="C2" t="s">
        <v>58</v>
      </c>
      <c r="D2" t="s">
        <v>59</v>
      </c>
    </row>
    <row r="3" spans="1:4" x14ac:dyDescent="0.2">
      <c r="A3">
        <v>1</v>
      </c>
      <c r="B3" t="s">
        <v>51</v>
      </c>
      <c r="C3" t="s">
        <v>60</v>
      </c>
      <c r="D3" t="s">
        <v>61</v>
      </c>
    </row>
    <row r="4" spans="1:4" x14ac:dyDescent="0.2">
      <c r="A4">
        <v>2</v>
      </c>
      <c r="C4" t="s">
        <v>62</v>
      </c>
      <c r="D4" t="s">
        <v>63</v>
      </c>
    </row>
    <row r="5" spans="1:4" x14ac:dyDescent="0.2">
      <c r="A5">
        <v>3</v>
      </c>
      <c r="C5" t="s">
        <v>64</v>
      </c>
    </row>
    <row r="6" spans="1:4" x14ac:dyDescent="0.2">
      <c r="A6">
        <v>4</v>
      </c>
      <c r="C6" t="s">
        <v>65</v>
      </c>
    </row>
    <row r="7" spans="1:4" x14ac:dyDescent="0.2">
      <c r="A7">
        <v>5</v>
      </c>
      <c r="C7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Abdulrehman Ubare</dc:creator>
  <cp:keywords/>
  <dc:description/>
  <cp:lastModifiedBy>Ahmed Kaddour</cp:lastModifiedBy>
  <dcterms:created xsi:type="dcterms:W3CDTF">2026-01-27T05:16:00Z</dcterms:created>
  <dcterms:modified xsi:type="dcterms:W3CDTF">2026-01-30T18:58:02Z</dcterms:modified>
  <cp:category/>
</cp:coreProperties>
</file>